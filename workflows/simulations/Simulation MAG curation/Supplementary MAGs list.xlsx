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n\Dropbox (Harvard University)\hutlab\Will\Environmental\Simulation MAG curation\"/>
    </mc:Choice>
  </mc:AlternateContent>
  <xr:revisionPtr revIDLastSave="0" documentId="13_ncr:1_{7721279B-9E18-4543-AE1D-5DF052BAC2BB}" xr6:coauthVersionLast="45" xr6:coauthVersionMax="45" xr10:uidLastSave="{00000000-0000-0000-0000-000000000000}"/>
  <bookViews>
    <workbookView xWindow="-110" yWindow="-110" windowWidth="19420" windowHeight="10300" xr2:uid="{86A550A7-D7B4-49B0-B0AA-E86102562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9" i="1" l="1"/>
  <c r="M3" i="1"/>
  <c r="M4" i="1"/>
  <c r="M5" i="1"/>
  <c r="M6" i="1"/>
  <c r="M7" i="1"/>
  <c r="M8" i="1"/>
  <c r="M2" i="1"/>
  <c r="K9" i="1" l="1"/>
  <c r="L9" i="1"/>
  <c r="H3" i="1"/>
  <c r="H4" i="1"/>
  <c r="H5" i="1"/>
  <c r="H6" i="1"/>
  <c r="H7" i="1"/>
  <c r="H8" i="1"/>
  <c r="H2" i="1"/>
  <c r="F4" i="1"/>
  <c r="F5" i="1"/>
  <c r="F6" i="1"/>
  <c r="F7" i="1"/>
  <c r="F8" i="1"/>
  <c r="G8" i="1"/>
  <c r="G7" i="1"/>
  <c r="G3" i="1"/>
  <c r="G2" i="1"/>
  <c r="F3" i="1"/>
  <c r="F2" i="1"/>
  <c r="E9" i="1"/>
  <c r="G4" i="1"/>
  <c r="G5" i="1"/>
  <c r="G6" i="1"/>
  <c r="F9" i="1" l="1"/>
  <c r="G9" i="1"/>
</calcChain>
</file>

<file path=xl/sharedStrings.xml><?xml version="1.0" encoding="utf-8"?>
<sst xmlns="http://schemas.openxmlformats.org/spreadsheetml/2006/main" count="29" uniqueCount="24">
  <si>
    <t>Number</t>
  </si>
  <si>
    <t>GB</t>
  </si>
  <si>
    <t>Study ID</t>
  </si>
  <si>
    <t>PRJEB36534</t>
  </si>
  <si>
    <t>Type</t>
  </si>
  <si>
    <t>Soil crust</t>
  </si>
  <si>
    <t>Estimated MAGs</t>
  </si>
  <si>
    <t>PRJNA597671</t>
  </si>
  <si>
    <t>PRJNA823845</t>
  </si>
  <si>
    <t>PRJNA630300</t>
  </si>
  <si>
    <t>PRJEB38557</t>
  </si>
  <si>
    <t>Artic permafrost</t>
  </si>
  <si>
    <t>PRJEB41174</t>
  </si>
  <si>
    <t>Estimated SGBs</t>
  </si>
  <si>
    <t>Date</t>
  </si>
  <si>
    <t>Maybe 2021 (https://www.sciencedirect.com/science/article/pii/S0048969721017812?via%3Dihub)</t>
  </si>
  <si>
    <t>PRJEB31111</t>
  </si>
  <si>
    <t>SGBs/GB</t>
  </si>
  <si>
    <t>Taking:</t>
  </si>
  <si>
    <t>All</t>
  </si>
  <si>
    <t>Biggest 5</t>
  </si>
  <si>
    <t>Biggest 10</t>
  </si>
  <si>
    <t>Estimate SGBs</t>
  </si>
  <si>
    <t>MAGs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</si>
</sst>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AFEE-4CC2-4B0D-8C5E-856ED8EAD3AC}">
  <dimension ref="A1:M9"/>
  <sheetViews>
    <sheetView tabSelected="1" workbookViewId="0">
      <selection activeCell="O10" sqref="O10"/>
    </sheetView>
  </sheetViews>
  <sheetFormatPr defaultRowHeight="14.5" x14ac:dyDescent="0.35"/>
  <cols>
    <col min="1" max="1" width="12" bestFit="1" customWidth="1"/>
    <col min="2" max="2" width="10.6328125" bestFit="1" customWidth="1"/>
    <col min="6" max="6" width="14.6328125" bestFit="1" customWidth="1"/>
    <col min="7" max="7" width="13.7265625" bestFit="1" customWidth="1"/>
  </cols>
  <sheetData>
    <row r="1" spans="1:13" x14ac:dyDescent="0.35">
      <c r="A1" t="s">
        <v>2</v>
      </c>
      <c r="B1" t="s">
        <v>14</v>
      </c>
      <c r="C1" t="s">
        <v>4</v>
      </c>
      <c r="D1" t="s">
        <v>0</v>
      </c>
      <c r="E1" t="s">
        <v>1</v>
      </c>
      <c r="F1" t="s">
        <v>6</v>
      </c>
      <c r="G1" t="s">
        <v>13</v>
      </c>
      <c r="H1" t="s">
        <v>17</v>
      </c>
      <c r="J1" t="s">
        <v>18</v>
      </c>
      <c r="K1" t="s">
        <v>1</v>
      </c>
      <c r="L1" t="s">
        <v>22</v>
      </c>
      <c r="M1" t="s">
        <v>23</v>
      </c>
    </row>
    <row r="2" spans="1:13" x14ac:dyDescent="0.35">
      <c r="A2" s="1" t="s">
        <v>3</v>
      </c>
      <c r="B2">
        <v>2021</v>
      </c>
      <c r="C2" t="s">
        <v>5</v>
      </c>
      <c r="D2">
        <v>5</v>
      </c>
      <c r="E2">
        <v>80</v>
      </c>
      <c r="F2">
        <f>5*E2</f>
        <v>400</v>
      </c>
      <c r="G2">
        <f>F2/10</f>
        <v>40</v>
      </c>
      <c r="H2">
        <f>G2/E2</f>
        <v>0.5</v>
      </c>
      <c r="J2" t="s">
        <v>19</v>
      </c>
      <c r="K2">
        <v>80</v>
      </c>
      <c r="L2">
        <v>40</v>
      </c>
      <c r="M2">
        <f>5*K2</f>
        <v>400</v>
      </c>
    </row>
    <row r="3" spans="1:13" x14ac:dyDescent="0.35">
      <c r="A3" t="s">
        <v>7</v>
      </c>
      <c r="B3" t="s">
        <v>15</v>
      </c>
      <c r="D3">
        <v>6</v>
      </c>
      <c r="E3">
        <v>12</v>
      </c>
      <c r="F3">
        <f>5*E3</f>
        <v>60</v>
      </c>
      <c r="G3">
        <f>F3/4</f>
        <v>15</v>
      </c>
      <c r="H3">
        <f t="shared" ref="H3:H8" si="0">G3/E3</f>
        <v>1.25</v>
      </c>
      <c r="J3" t="s">
        <v>19</v>
      </c>
      <c r="K3">
        <v>12</v>
      </c>
      <c r="L3">
        <v>15</v>
      </c>
      <c r="M3">
        <f t="shared" ref="M3:M8" si="1">5*K3</f>
        <v>60</v>
      </c>
    </row>
    <row r="4" spans="1:13" x14ac:dyDescent="0.35">
      <c r="A4" t="s">
        <v>8</v>
      </c>
      <c r="B4">
        <v>2022</v>
      </c>
      <c r="D4">
        <v>18</v>
      </c>
      <c r="E4">
        <v>180</v>
      </c>
      <c r="F4">
        <f t="shared" ref="F4:F8" si="2">5*E4</f>
        <v>900</v>
      </c>
      <c r="G4">
        <f t="shared" ref="G3:G8" si="3">F4/10</f>
        <v>90</v>
      </c>
      <c r="H4">
        <f t="shared" si="0"/>
        <v>0.5</v>
      </c>
      <c r="J4" t="s">
        <v>20</v>
      </c>
      <c r="K4">
        <v>60</v>
      </c>
      <c r="L4">
        <v>50</v>
      </c>
      <c r="M4">
        <f t="shared" si="1"/>
        <v>300</v>
      </c>
    </row>
    <row r="5" spans="1:13" x14ac:dyDescent="0.35">
      <c r="A5" t="s">
        <v>9</v>
      </c>
      <c r="B5">
        <v>2022</v>
      </c>
      <c r="D5">
        <v>10</v>
      </c>
      <c r="E5">
        <v>100</v>
      </c>
      <c r="F5">
        <f t="shared" si="2"/>
        <v>500</v>
      </c>
      <c r="G5">
        <f t="shared" si="3"/>
        <v>50</v>
      </c>
      <c r="H5">
        <f t="shared" si="0"/>
        <v>0.5</v>
      </c>
      <c r="J5" t="s">
        <v>20</v>
      </c>
      <c r="K5">
        <v>60</v>
      </c>
      <c r="L5">
        <v>30</v>
      </c>
      <c r="M5">
        <f t="shared" si="1"/>
        <v>300</v>
      </c>
    </row>
    <row r="6" spans="1:13" x14ac:dyDescent="0.35">
      <c r="A6" t="s">
        <v>10</v>
      </c>
      <c r="B6">
        <v>2021</v>
      </c>
      <c r="C6" t="s">
        <v>11</v>
      </c>
      <c r="D6">
        <v>6</v>
      </c>
      <c r="E6">
        <v>90</v>
      </c>
      <c r="F6">
        <f t="shared" si="2"/>
        <v>450</v>
      </c>
      <c r="G6">
        <f t="shared" si="3"/>
        <v>45</v>
      </c>
      <c r="H6">
        <f t="shared" si="0"/>
        <v>0.5</v>
      </c>
      <c r="J6" t="s">
        <v>19</v>
      </c>
      <c r="K6">
        <v>90</v>
      </c>
      <c r="L6">
        <v>45</v>
      </c>
      <c r="M6">
        <f t="shared" si="1"/>
        <v>450</v>
      </c>
    </row>
    <row r="7" spans="1:13" x14ac:dyDescent="0.35">
      <c r="A7" t="s">
        <v>12</v>
      </c>
      <c r="B7">
        <v>2021</v>
      </c>
      <c r="D7">
        <v>65</v>
      </c>
      <c r="E7">
        <v>260</v>
      </c>
      <c r="F7">
        <f t="shared" si="2"/>
        <v>1300</v>
      </c>
      <c r="G7">
        <f>F7/10</f>
        <v>130</v>
      </c>
      <c r="H7">
        <f t="shared" si="0"/>
        <v>0.5</v>
      </c>
      <c r="J7" t="s">
        <v>21</v>
      </c>
      <c r="K7">
        <v>60</v>
      </c>
      <c r="L7">
        <v>40</v>
      </c>
      <c r="M7">
        <f t="shared" si="1"/>
        <v>300</v>
      </c>
    </row>
    <row r="8" spans="1:13" x14ac:dyDescent="0.35">
      <c r="A8" t="s">
        <v>16</v>
      </c>
      <c r="B8">
        <v>2022</v>
      </c>
      <c r="D8">
        <v>32</v>
      </c>
      <c r="E8">
        <v>70</v>
      </c>
      <c r="F8">
        <f t="shared" si="2"/>
        <v>350</v>
      </c>
      <c r="G8">
        <f>F8/4</f>
        <v>87.5</v>
      </c>
      <c r="H8">
        <f t="shared" si="0"/>
        <v>1.25</v>
      </c>
      <c r="J8" t="s">
        <v>19</v>
      </c>
      <c r="K8">
        <v>70</v>
      </c>
      <c r="L8">
        <v>90</v>
      </c>
      <c r="M8">
        <f t="shared" si="1"/>
        <v>350</v>
      </c>
    </row>
    <row r="9" spans="1:13" x14ac:dyDescent="0.35">
      <c r="E9">
        <f>SUM(E2:E8)</f>
        <v>792</v>
      </c>
      <c r="F9">
        <f>SUM(F2:F8)</f>
        <v>3960</v>
      </c>
      <c r="G9">
        <f>SUM(G2:G8)</f>
        <v>457.5</v>
      </c>
      <c r="J9">
        <v>69</v>
      </c>
      <c r="K9">
        <f>SUM(K2:K8)</f>
        <v>432</v>
      </c>
      <c r="L9">
        <f>SUM(L2:L8)</f>
        <v>310</v>
      </c>
      <c r="M9">
        <f>SUM(M2:M8)</f>
        <v>2160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Nickols</dc:creator>
  <cp:lastModifiedBy>William Nickols</cp:lastModifiedBy>
  <dcterms:created xsi:type="dcterms:W3CDTF">2022-12-20T23:07:01Z</dcterms:created>
  <dcterms:modified xsi:type="dcterms:W3CDTF">2022-12-22T18:13:52Z</dcterms:modified>
</cp:coreProperties>
</file>