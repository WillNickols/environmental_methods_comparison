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willn\Dropbox (Harvard University)\hutlab\Will\Environmental\src\assembly_workflow_metaspades\"/>
    </mc:Choice>
  </mc:AlternateContent>
  <xr:revisionPtr revIDLastSave="0" documentId="13_ncr:1_{EF4BA405-C3FE-4E4B-8D8A-48C401439BA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F2" i="1"/>
  <c r="F3" i="1"/>
  <c r="F4" i="1"/>
  <c r="F5" i="1"/>
  <c r="F6" i="1"/>
  <c r="F7" i="1"/>
  <c r="F8" i="1"/>
  <c r="F10" i="1"/>
  <c r="E10" i="1"/>
</calcChain>
</file>

<file path=xl/sharedStrings.xml><?xml version="1.0" encoding="utf-8"?>
<sst xmlns="http://schemas.openxmlformats.org/spreadsheetml/2006/main" count="18" uniqueCount="18">
  <si>
    <t>Dataset</t>
  </si>
  <si>
    <t>Coastal</t>
  </si>
  <si>
    <t>Mine</t>
  </si>
  <si>
    <t>Cats</t>
  </si>
  <si>
    <t>Dogs</t>
  </si>
  <si>
    <t>Salt marsh</t>
  </si>
  <si>
    <t>Wild gut</t>
  </si>
  <si>
    <t>Human</t>
  </si>
  <si>
    <t>12 GB</t>
  </si>
  <si>
    <t>&gt;88 hours, estimating ~200 hours</t>
  </si>
  <si>
    <t>&gt;178 GB</t>
  </si>
  <si>
    <t>Delignification (doing this)</t>
  </si>
  <si>
    <t>Tara polar (not doing this)</t>
  </si>
  <si>
    <t>Memory per GB</t>
  </si>
  <si>
    <t>Memory (GB)</t>
  </si>
  <si>
    <t>Time (hours)</t>
  </si>
  <si>
    <t>Size (pair 1 fastq.gz GB)</t>
  </si>
  <si>
    <t>Time per GB unzipped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</si>
</sst>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7" sqref="G17"/>
    </sheetView>
  </sheetViews>
  <sheetFormatPr defaultRowHeight="14.5" x14ac:dyDescent="0.35"/>
  <cols>
    <col min="1" max="1" width="22.7265625" bestFit="1" customWidth="1"/>
    <col min="2" max="2" width="17.54296875" bestFit="1" customWidth="1"/>
    <col min="3" max="3" width="28.7265625" bestFit="1" customWidth="1"/>
    <col min="4" max="4" width="12" bestFit="1" customWidth="1"/>
    <col min="5" max="5" width="11" bestFit="1" customWidth="1"/>
    <col min="6" max="6" width="14.08984375" bestFit="1" customWidth="1"/>
  </cols>
  <sheetData>
    <row r="1" spans="1:6" x14ac:dyDescent="0.35">
      <c r="A1" t="s">
        <v>0</v>
      </c>
      <c r="B1" t="s">
        <v>16</v>
      </c>
      <c r="C1" t="s">
        <v>15</v>
      </c>
      <c r="D1" t="s">
        <v>14</v>
      </c>
      <c r="E1" t="s">
        <v>17</v>
      </c>
      <c r="F1" t="s">
        <v>13</v>
      </c>
    </row>
    <row r="2" spans="1:6" x14ac:dyDescent="0.35">
      <c r="A2" t="s">
        <v>3</v>
      </c>
      <c r="B2">
        <v>0.68600000000000005</v>
      </c>
      <c r="C2">
        <v>17</v>
      </c>
      <c r="D2">
        <v>21</v>
      </c>
      <c r="E2">
        <f>C2/B2/6</f>
        <v>4.13022351797862</v>
      </c>
      <c r="F2">
        <f>D2/B2</f>
        <v>30.612244897959183</v>
      </c>
    </row>
    <row r="3" spans="1:6" x14ac:dyDescent="0.35">
      <c r="A3" t="s">
        <v>1</v>
      </c>
      <c r="B3">
        <v>0.24399999999999999</v>
      </c>
      <c r="C3">
        <v>32</v>
      </c>
      <c r="D3">
        <v>39</v>
      </c>
      <c r="E3">
        <f t="shared" ref="E3:E8" si="0">C3/B3/6</f>
        <v>21.857923497267759</v>
      </c>
      <c r="F3">
        <f t="shared" ref="F3:F10" si="1">D3/B3</f>
        <v>159.8360655737705</v>
      </c>
    </row>
    <row r="4" spans="1:6" x14ac:dyDescent="0.35">
      <c r="A4" t="s">
        <v>11</v>
      </c>
      <c r="B4">
        <v>2.1</v>
      </c>
      <c r="C4">
        <v>95</v>
      </c>
      <c r="D4">
        <v>99</v>
      </c>
      <c r="E4">
        <f t="shared" si="0"/>
        <v>7.5396825396825387</v>
      </c>
      <c r="F4">
        <f t="shared" si="1"/>
        <v>47.142857142857139</v>
      </c>
    </row>
    <row r="5" spans="1:6" x14ac:dyDescent="0.35">
      <c r="A5" t="s">
        <v>4</v>
      </c>
      <c r="B5">
        <v>3.2</v>
      </c>
      <c r="C5">
        <v>30</v>
      </c>
      <c r="D5">
        <v>26</v>
      </c>
      <c r="E5">
        <f t="shared" si="0"/>
        <v>1.5625</v>
      </c>
      <c r="F5">
        <f t="shared" si="1"/>
        <v>8.125</v>
      </c>
    </row>
    <row r="6" spans="1:6" x14ac:dyDescent="0.35">
      <c r="A6" t="s">
        <v>7</v>
      </c>
      <c r="B6">
        <v>0.59399999999999997</v>
      </c>
      <c r="C6">
        <v>4</v>
      </c>
      <c r="D6">
        <v>18</v>
      </c>
      <c r="E6">
        <f t="shared" si="0"/>
        <v>1.122334455667789</v>
      </c>
      <c r="F6">
        <f t="shared" si="1"/>
        <v>30.303030303030305</v>
      </c>
    </row>
    <row r="7" spans="1:6" x14ac:dyDescent="0.35">
      <c r="A7" t="s">
        <v>2</v>
      </c>
      <c r="B7">
        <v>0.502</v>
      </c>
      <c r="C7">
        <v>6.5</v>
      </c>
      <c r="D7">
        <v>25</v>
      </c>
      <c r="E7">
        <f t="shared" si="0"/>
        <v>2.1580345285524567</v>
      </c>
      <c r="F7">
        <f t="shared" si="1"/>
        <v>49.800796812749006</v>
      </c>
    </row>
    <row r="8" spans="1:6" x14ac:dyDescent="0.35">
      <c r="A8" t="s">
        <v>5</v>
      </c>
      <c r="B8">
        <v>0.30399999999999999</v>
      </c>
      <c r="C8">
        <v>5</v>
      </c>
      <c r="D8">
        <v>21</v>
      </c>
      <c r="E8">
        <f t="shared" si="0"/>
        <v>2.7412280701754388</v>
      </c>
      <c r="F8">
        <f t="shared" si="1"/>
        <v>69.078947368421055</v>
      </c>
    </row>
    <row r="9" spans="1:6" x14ac:dyDescent="0.35">
      <c r="A9" s="1" t="s">
        <v>12</v>
      </c>
      <c r="B9" s="1" t="s">
        <v>8</v>
      </c>
      <c r="C9" s="1" t="s">
        <v>9</v>
      </c>
      <c r="D9" s="1" t="s">
        <v>10</v>
      </c>
    </row>
    <row r="10" spans="1:6" x14ac:dyDescent="0.35">
      <c r="A10" t="s">
        <v>6</v>
      </c>
      <c r="B10">
        <v>0.70799999999999996</v>
      </c>
      <c r="C10">
        <v>13</v>
      </c>
      <c r="D10">
        <v>48</v>
      </c>
      <c r="E10">
        <f t="shared" ref="E3:E10" si="2">C10/B10</f>
        <v>18.361581920903955</v>
      </c>
      <c r="F10">
        <f t="shared" si="1"/>
        <v>67.79661016949153</v>
      </c>
    </row>
  </sheetData>
  <sortState xmlns:xlrd2="http://schemas.microsoft.com/office/spreadsheetml/2017/richdata2" ref="A2:D10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Nickols</dc:creator>
  <cp:lastModifiedBy>William Nickols</cp:lastModifiedBy>
  <dcterms:created xsi:type="dcterms:W3CDTF">2015-06-05T18:17:20Z</dcterms:created>
  <dcterms:modified xsi:type="dcterms:W3CDTF">2022-12-25T03:05:08Z</dcterms:modified>
</cp:coreProperties>
</file>